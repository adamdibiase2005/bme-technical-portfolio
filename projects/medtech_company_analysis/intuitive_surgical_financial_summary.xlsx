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24705bec8b70a3/Documents/Github/bme-technical-portfolio/weeks/"/>
    </mc:Choice>
  </mc:AlternateContent>
  <xr:revisionPtr revIDLastSave="535" documentId="8_{CD4C80AC-BF53-4768-81E9-C2D8993E7813}" xr6:coauthVersionLast="47" xr6:coauthVersionMax="47" xr10:uidLastSave="{2E79AB5F-0F0A-4C6F-90FF-707B29DA1ECB}"/>
  <bookViews>
    <workbookView xWindow="-110" yWindow="-110" windowWidth="19420" windowHeight="11500" firstSheet="1" activeTab="4" xr2:uid="{5C368306-78B6-4011-BFE8-9DCF506CBC84}"/>
  </bookViews>
  <sheets>
    <sheet name="Raw financials" sheetId="1" r:id="rId1"/>
    <sheet name="Clean summary" sheetId="2" r:id="rId2"/>
    <sheet name="Charts" sheetId="6" r:id="rId3"/>
    <sheet name="KPIs" sheetId="3" r:id="rId4"/>
    <sheet name="Dashboard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<sst xmlns="http://schemas.openxmlformats.org/spreadsheetml/2006/main" count="135" uniqueCount="111">
  <si>
    <t>KPIs</t>
  </si>
  <si>
    <t>Line item</t>
  </si>
  <si>
    <t>Revenue growth</t>
  </si>
  <si>
    <t>Formula</t>
  </si>
  <si>
    <t>Gross margin</t>
  </si>
  <si>
    <t>Operating margin</t>
  </si>
  <si>
    <t>Net margin</t>
  </si>
  <si>
    <t>Free cash flow margin</t>
  </si>
  <si>
    <t>(Current Year Revenue - Previous Year Revenue) / Previous Year Revenue</t>
  </si>
  <si>
    <t>Gross Profit / Revenue</t>
  </si>
  <si>
    <t>Operating Income / Revenue</t>
  </si>
  <si>
    <t>Net Income / Revenue</t>
  </si>
  <si>
    <t>Free Cash Flow / Revenue</t>
  </si>
  <si>
    <t>What it tells me</t>
  </si>
  <si>
    <t>Company:</t>
  </si>
  <si>
    <t>Ticker:</t>
  </si>
  <si>
    <t>ISRG</t>
  </si>
  <si>
    <t>Project:</t>
  </si>
  <si>
    <t>Intuitive Surgical</t>
  </si>
  <si>
    <t xml:space="preserve">Medtech Financial Summary </t>
  </si>
  <si>
    <t>Theme:</t>
  </si>
  <si>
    <t>Roboic surgery, recurring revenue, medtech business model</t>
  </si>
  <si>
    <t>Key Questions:</t>
  </si>
  <si>
    <t>Is revenue growing?</t>
  </si>
  <si>
    <t>Is the company profittable?</t>
  </si>
  <si>
    <t>Are the margins strong?</t>
  </si>
  <si>
    <t>Does the company generate cash flow?</t>
  </si>
  <si>
    <t>Revenue:</t>
  </si>
  <si>
    <t>Gross profit:</t>
  </si>
  <si>
    <t>Operating income:</t>
  </si>
  <si>
    <t>Net income:</t>
  </si>
  <si>
    <t>Operating cash flow:</t>
  </si>
  <si>
    <t>Capital expenditures:</t>
  </si>
  <si>
    <t>Free cash flow:</t>
  </si>
  <si>
    <t>Cash and cash equivalents:</t>
  </si>
  <si>
    <t>Total assets:</t>
  </si>
  <si>
    <t>Total debts:</t>
  </si>
  <si>
    <t>N/A</t>
  </si>
  <si>
    <t>Note: Intuitive Surgical does not report debt, long-term debt, or borrowings in the 2025 Annual Report. Total debt treated as 0.</t>
  </si>
  <si>
    <t>FCF margin</t>
  </si>
  <si>
    <t>Revenue</t>
  </si>
  <si>
    <t>Gross profit</t>
  </si>
  <si>
    <t>Operating income</t>
  </si>
  <si>
    <t>Net income</t>
  </si>
  <si>
    <t>Operating cash flow</t>
  </si>
  <si>
    <t>Capital expenditures</t>
  </si>
  <si>
    <t>Free cash flow</t>
  </si>
  <si>
    <t>Year:</t>
  </si>
  <si>
    <t>Year</t>
  </si>
  <si>
    <t>All figures are in USD millions. Free cash flow is calculated as operating cash flow minus capital expenditures.</t>
  </si>
  <si>
    <t>Why investors care</t>
  </si>
  <si>
    <t>What it suggests</t>
  </si>
  <si>
    <t>Operating cash flow margin</t>
  </si>
  <si>
    <t>Capex as % of revenue</t>
  </si>
  <si>
    <t>Cash balance growth</t>
  </si>
  <si>
    <t>Operating cash flow / Revenue</t>
  </si>
  <si>
    <t>Capital expenditures / Revenue</t>
  </si>
  <si>
    <t>Current year cash / prior year cash - 1</t>
  </si>
  <si>
    <t>Revenue increased strongly in both 2024 and 2025. Growth accelerated from 17.2% to 20.5%.</t>
  </si>
  <si>
    <t>Investors care because revenue growth shows whether the company’s products are gaining adoption and whether the market is still expanding.</t>
  </si>
  <si>
    <t>This suggests continued adoption of Intuitive Surgical’s robotic surgery platforms and growth in procedure volume.</t>
  </si>
  <si>
    <t>Gross margin stayed around the mid-60% range across all three years.</t>
  </si>
  <si>
    <t>Investors care because gross margin shows how profitable the company’s products and services are before operating expenses.</t>
  </si>
  <si>
    <t>This suggests Intuitive Surgical has strong product economics, although 2025 was slightly lower than 2024.</t>
  </si>
  <si>
    <t>Operating margin improved from 2024 to 2025, but 2023 is missing because operating income is not verified.</t>
  </si>
  <si>
    <t>Investors care because operating margin shows how efficiently the company turns revenue into operating profit.</t>
  </si>
  <si>
    <t>This suggests Intuitive may be gaining operating leverage as revenue grows.</t>
  </si>
  <si>
    <t>Net margin improved each year from 2023 to 2025.</t>
  </si>
  <si>
    <t>Investors care because net margin shows how much of each dollar of revenue becomes bottom-line profit after all expenses.</t>
  </si>
  <si>
    <t>This suggests Intuitive is not only growing, but also becoming slightly more profitable.</t>
  </si>
  <si>
    <t>Free cash flow margin improved significantly, especially in 2025.</t>
  </si>
  <si>
    <t>Investors care because free cash flow shows how much cash the company generates after capital expenditures.</t>
  </si>
  <si>
    <t>This suggests strong cash generation, but I should check whether lower capex in 2025 helped cause the jump.</t>
  </si>
  <si>
    <t>Operating cash flow margin improved from 2023 to 2025.</t>
  </si>
  <si>
    <t>Investors care because operating cash flow shows whether the business generates real cash from normal operations.</t>
  </si>
  <si>
    <t>This suggests Intuitive’s core business is converting revenue into cash efficiently.</t>
  </si>
  <si>
    <t>Capex as a percentage of revenue dropped sharply in 2025.</t>
  </si>
  <si>
    <t>Investors care because lower capital spending can improve free cash flow, but they also want to know whether it is sustainable.</t>
  </si>
  <si>
    <t>This suggests the 2025 free cash flow jump was partly helped by lower capex, so I should not overclaim.</t>
  </si>
  <si>
    <t>Cash increased strongly from 2024 to 2025.</t>
  </si>
  <si>
    <t>Investors care because a strong cash position gives the company flexibility to invest, acquire, or handle downturns.</t>
  </si>
  <si>
    <t>This suggests Intuitive has a strong balance sheet, but I should also look at total cash plus investments for a fuller picture.</t>
  </si>
  <si>
    <t>Main KPI takeaway:</t>
  </si>
  <si>
    <t>Intuitive Surgical grew revenue strongly from 2023 to 2025, maintained high gross margins around the mid-60% range, improved profitability, and generated much stronger free cash flow in 2025. However, the free cash flow jump should be interpreted carefully because capex as a percentage of revenue dropped sharply in 2025.</t>
  </si>
  <si>
    <t>Key Takeaways</t>
  </si>
  <si>
    <t>Trend</t>
  </si>
  <si>
    <t>Strong revenue growth from 2023 to 2025</t>
  </si>
  <si>
    <t>Improving</t>
  </si>
  <si>
    <t>Revenue Growth</t>
  </si>
  <si>
    <t>Growth accelerated in 2025</t>
  </si>
  <si>
    <t>Gross Margin</t>
  </si>
  <si>
    <t>Margins stayed strong in the mid-60% range</t>
  </si>
  <si>
    <t>Stable</t>
  </si>
  <si>
    <t>Operating Margin</t>
  </si>
  <si>
    <t>Operating profitability improved from 2024 to 2025</t>
  </si>
  <si>
    <t>Net Margin</t>
  </si>
  <si>
    <t>Net profitability improved each year</t>
  </si>
  <si>
    <t>FCF Margin</t>
  </si>
  <si>
    <t>Free cash flow margin improved significantly</t>
  </si>
  <si>
    <t>Strong improvement</t>
  </si>
  <si>
    <t>5 Key Takeaways</t>
  </si>
  <si>
    <t>1. Revenue grew strongly from 2023 to 2025, suggesting continued adoption of Intuitive Surgical’s robotic surgery platforms.</t>
  </si>
  <si>
    <t>2. Gross margin stayed around the mid-60% range, suggesting strong product economics.</t>
  </si>
  <si>
    <t>3. Operating margin improved from 2024 to 2025, suggesting operating leverage.</t>
  </si>
  <si>
    <t>4. Free cash flow margin improved significantly in 2025, partly helped by lower capital expenditures.</t>
  </si>
  <si>
    <t>5. Intuitive appears financially strong, with no traditional debt line identified and a growing cash balance.</t>
  </si>
  <si>
    <t>3 Questions I Still Have</t>
  </si>
  <si>
    <t>1. What is the correct 2023 operating income figure?</t>
  </si>
  <si>
    <t>2. How sustainable is the lower 2025 capex level?</t>
  </si>
  <si>
    <t>3. How much future growth will come from procedure growth versus new system placements?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</si>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</sst>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2" fillId="2" borderId="1" xfId="0" applyFont="1" applyFill="1" applyBorder="1"/>
    <xf numFmtId="0" fontId="2" fillId="2" borderId="3" xfId="0" applyFont="1" applyFill="1" applyBorder="1"/>
    <xf numFmtId="0" fontId="2" fillId="2" borderId="5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164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0" fontId="0" fillId="0" borderId="0" xfId="0" applyNumberFormat="1"/>
    <xf numFmtId="0" fontId="0" fillId="3" borderId="7" xfId="0" applyFill="1" applyBorder="1"/>
    <xf numFmtId="0" fontId="1" fillId="2" borderId="1" xfId="0" applyFont="1" applyFill="1" applyBorder="1"/>
    <xf numFmtId="0" fontId="1" fillId="0" borderId="0" xfId="0" applyFont="1"/>
    <xf numFmtId="4" fontId="0" fillId="0" borderId="0" xfId="0" applyNumberFormat="1"/>
    <xf numFmtId="0" fontId="0" fillId="0" borderId="8" xfId="0" applyBorder="1"/>
    <xf numFmtId="0" fontId="1" fillId="2" borderId="3" xfId="0" applyFont="1" applyFill="1" applyBorder="1"/>
    <xf numFmtId="0" fontId="1" fillId="2" borderId="5" xfId="0" applyFont="1" applyFill="1" applyBorder="1"/>
    <xf numFmtId="0" fontId="0" fillId="0" borderId="9" xfId="0" applyBorder="1"/>
    <xf numFmtId="10" fontId="0" fillId="0" borderId="9" xfId="0" applyNumberFormat="1" applyBorder="1"/>
    <xf numFmtId="0" fontId="0" fillId="0" borderId="11" xfId="0" applyBorder="1"/>
    <xf numFmtId="0" fontId="0" fillId="0" borderId="12" xfId="0" applyBorder="1"/>
    <xf numFmtId="0" fontId="1" fillId="2" borderId="10" xfId="0" applyFont="1" applyFill="1" applyBorder="1"/>
    <xf numFmtId="0" fontId="0" fillId="0" borderId="0" xfId="0" applyAlignment="1">
      <alignment horizontal="center"/>
    </xf>
    <xf numFmtId="0" fontId="1" fillId="4" borderId="0" xfId="0" applyFont="1" applyFill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Light1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Intuitive Surgical Revenue, 2023–2025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Charts!$C$2</c:f>
              <c:strCache>
                <c:ptCount val="1"/>
                <c:pt idx="0">
                  <c:v>Revenue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Charts!$B$3:$B$5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xVal>
          <c:yVal>
            <c:numRef>
              <c:f>Charts!$C$3:$C$5</c:f>
              <c:numCache>
                <c:formatCode>General</c:formatCode>
                <c:ptCount val="3"/>
                <c:pt idx="0">
                  <c:v>7124.1</c:v>
                </c:pt>
                <c:pt idx="1">
                  <c:v>8352.1</c:v>
                </c:pt>
                <c:pt idx="2">
                  <c:v>10064.700000000001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21-410F-AC9B-05B401B17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9035520"/>
        <c:axId val="2019036000"/>
      </c:scatterChart>
      <c:valAx>
        <c:axId val="2019035520"/>
        <c:scaling>
          <c:orientation val="minMax"/>
          <c:max val="2026"/>
          <c:min val="202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036000"/>
        <c:crosses val="autoZero"/>
        <c:crossBetween val="midCat"/>
        <c:majorUnit val="1"/>
      </c:valAx>
      <c:valAx>
        <c:axId val="201903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Revenue</a:t>
                </a:r>
                <a:r>
                  <a:rPr lang="en-CA" baseline="0"/>
                  <a:t> (million 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035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Intuitive Surgical Net Income, 2023–2025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Charts!$I$3:$I$5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xVal>
          <c:yVal>
            <c:numRef>
              <c:f>Charts!$J$3:$J$5</c:f>
              <c:numCache>
                <c:formatCode>General</c:formatCode>
                <c:ptCount val="3"/>
                <c:pt idx="0">
                  <c:v>1817.3</c:v>
                </c:pt>
                <c:pt idx="1">
                  <c:v>2337.5</c:v>
                </c:pt>
                <c:pt idx="2">
                  <c:v>2876.6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662-49B8-B105-C2354D03B955}"/>
            </c:ext>
          </c:extLst>
        </c:ser>
        <c:ser>
          <c:idx val="3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Charts!$I$3:$I$5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xVal>
          <c:yVal>
            <c:numRef>
              <c:f>Charts!$J$3:$J$5</c:f>
              <c:numCache>
                <c:formatCode>General</c:formatCode>
                <c:ptCount val="3"/>
                <c:pt idx="0">
                  <c:v>1817.3</c:v>
                </c:pt>
                <c:pt idx="1">
                  <c:v>2337.5</c:v>
                </c:pt>
                <c:pt idx="2">
                  <c:v>2876.6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662-49B8-B105-C2354D03B955}"/>
            </c:ext>
          </c:extLst>
        </c:ser>
        <c:ser>
          <c:idx val="1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Charts!$I$3:$I$5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xVal>
          <c:yVal>
            <c:numRef>
              <c:f>Charts!$J$3:$J$5</c:f>
              <c:numCache>
                <c:formatCode>General</c:formatCode>
                <c:ptCount val="3"/>
                <c:pt idx="0">
                  <c:v>1817.3</c:v>
                </c:pt>
                <c:pt idx="1">
                  <c:v>2337.5</c:v>
                </c:pt>
                <c:pt idx="2">
                  <c:v>2876.6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662-49B8-B105-C2354D03B955}"/>
            </c:ext>
          </c:extLst>
        </c:ser>
        <c:ser>
          <c:idx val="0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Charts!$I$3:$I$5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xVal>
          <c:yVal>
            <c:numRef>
              <c:f>Charts!$J$3:$J$5</c:f>
              <c:numCache>
                <c:formatCode>General</c:formatCode>
                <c:ptCount val="3"/>
                <c:pt idx="0">
                  <c:v>1817.3</c:v>
                </c:pt>
                <c:pt idx="1">
                  <c:v>2337.5</c:v>
                </c:pt>
                <c:pt idx="2">
                  <c:v>2876.6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662-49B8-B105-C2354D03B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2527216"/>
        <c:axId val="1912517136"/>
      </c:scatterChart>
      <c:valAx>
        <c:axId val="1912527216"/>
        <c:scaling>
          <c:orientation val="minMax"/>
          <c:max val="2026"/>
          <c:min val="202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517136"/>
        <c:crosses val="autoZero"/>
        <c:crossBetween val="midCat"/>
      </c:valAx>
      <c:valAx>
        <c:axId val="191251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Net Income (million 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527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Intuitive Surgical Free Cash Flow, 2023–2025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Charts!$P$3:$P$5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xVal>
          <c:yVal>
            <c:numRef>
              <c:f>Charts!$Q$3:$Q$5</c:f>
              <c:numCache>
                <c:formatCode>General</c:formatCode>
                <c:ptCount val="3"/>
                <c:pt idx="0">
                  <c:v>749.6</c:v>
                </c:pt>
                <c:pt idx="1">
                  <c:v>1303.8</c:v>
                </c:pt>
                <c:pt idx="2">
                  <c:v>2490.6999999999998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42-41DC-B26B-7F5F4D2CC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2527216"/>
        <c:axId val="1912517136"/>
      </c:scatterChart>
      <c:valAx>
        <c:axId val="1912527216"/>
        <c:scaling>
          <c:orientation val="minMax"/>
          <c:max val="2026"/>
          <c:min val="202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517136"/>
        <c:crosses val="autoZero"/>
        <c:crossBetween val="midCat"/>
        <c:majorUnit val="1"/>
      </c:valAx>
      <c:valAx>
        <c:axId val="191251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Free Cash Flow  (million 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527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4990</xdr:colOff>
      <xdr:row>7</xdr:row>
      <xdr:rowOff>72571</xdr:rowOff>
    </xdr:from>
    <xdr:to>
      <xdr:col>6</xdr:col>
      <xdr:colOff>562429</xdr:colOff>
      <xdr:row>22</xdr:row>
      <xdr:rowOff>139699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6385F5-6629-62FD-DE9E-F2154A3010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95704</xdr:colOff>
      <xdr:row>7</xdr:row>
      <xdr:rowOff>108858</xdr:rowOff>
    </xdr:from>
    <xdr:to>
      <xdr:col>13</xdr:col>
      <xdr:colOff>426357</xdr:colOff>
      <xdr:row>22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4B9F11-FF6D-A689-89BC-CAB890AA85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469762</xdr:colOff>
      <xdr:row>7</xdr:row>
      <xdr:rowOff>129732</xdr:rowOff>
    </xdr:from>
    <xdr:to>
      <xdr:col>20</xdr:col>
      <xdr:colOff>477956</xdr:colOff>
      <xdr:row>22</xdr:row>
      <xdr:rowOff>184209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1A7179-4A42-4B5F-AF28-4B734B90C0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3D10B-DC2D-4D48-AC35-FCFEACBCBEF9}">
  <dimension ref="A1:J15"/>
  <sheetViews>
    <sheetView workbookViewId="0">
      <selection activeCell="D11" sqref="D11"/>
    </sheetView>
  </sheetViews>
  <sheetFormatPr defaultRowHeight="14.5" x14ac:dyDescent="0.35"/>
  <cols>
    <col min="1" max="1" width="22" customWidth="1"/>
    <col min="2" max="2" width="19.36328125" bestFit="1" customWidth="1"/>
    <col min="3" max="3" width="14.7265625" customWidth="1"/>
    <col min="4" max="4" width="10.90625" bestFit="1" customWidth="1"/>
  </cols>
  <sheetData>
    <row r="1" spans="1:10" x14ac:dyDescent="0.35">
      <c r="A1" s="7" t="s">
        <v>1</v>
      </c>
      <c r="B1" s="7">
        <v>2023</v>
      </c>
      <c r="C1" s="7">
        <v>2024</v>
      </c>
      <c r="D1" s="7">
        <v>2025</v>
      </c>
    </row>
    <row r="2" spans="1:10" x14ac:dyDescent="0.35">
      <c r="A2" t="s">
        <v>27</v>
      </c>
      <c r="B2">
        <v>7124.1</v>
      </c>
      <c r="C2" s="9">
        <v>8352.1</v>
      </c>
      <c r="D2" s="9">
        <v>10064.700000000001</v>
      </c>
    </row>
    <row r="3" spans="1:10" x14ac:dyDescent="0.35">
      <c r="A3" t="s">
        <v>28</v>
      </c>
      <c r="B3" s="9">
        <v>4729.5</v>
      </c>
      <c r="C3" s="9">
        <v>5634.2</v>
      </c>
      <c r="D3" s="9">
        <v>6642.3</v>
      </c>
    </row>
    <row r="4" spans="1:10" x14ac:dyDescent="0.35">
      <c r="A4" t="s">
        <v>29</v>
      </c>
      <c r="B4" s="10" t="s">
        <v>37</v>
      </c>
      <c r="C4" s="9">
        <v>2350</v>
      </c>
      <c r="D4" s="9">
        <v>2950</v>
      </c>
    </row>
    <row r="5" spans="1:10" x14ac:dyDescent="0.35">
      <c r="A5" t="s">
        <v>30</v>
      </c>
      <c r="B5" s="9">
        <v>1817.3</v>
      </c>
      <c r="C5" s="9">
        <v>2337.5</v>
      </c>
      <c r="D5" s="9">
        <v>2876.6</v>
      </c>
    </row>
    <row r="6" spans="1:10" x14ac:dyDescent="0.35">
      <c r="A6" t="s">
        <v>31</v>
      </c>
      <c r="B6" s="9">
        <v>1813.8</v>
      </c>
      <c r="C6" s="9">
        <v>2415</v>
      </c>
      <c r="D6" s="9">
        <v>3030.5</v>
      </c>
    </row>
    <row r="7" spans="1:10" x14ac:dyDescent="0.35">
      <c r="A7" t="s">
        <v>32</v>
      </c>
      <c r="B7" s="9">
        <v>1064.2</v>
      </c>
      <c r="C7" s="9">
        <v>1111.2</v>
      </c>
      <c r="D7" s="9">
        <v>539.79999999999995</v>
      </c>
    </row>
    <row r="8" spans="1:10" x14ac:dyDescent="0.35">
      <c r="A8" t="s">
        <v>33</v>
      </c>
      <c r="B8" s="9">
        <v>749.6</v>
      </c>
      <c r="C8" s="9">
        <v>1303.8</v>
      </c>
      <c r="D8" s="9">
        <v>2490.6999999999998</v>
      </c>
    </row>
    <row r="9" spans="1:10" x14ac:dyDescent="0.35">
      <c r="A9" t="s">
        <v>34</v>
      </c>
      <c r="B9" s="10" t="s">
        <v>37</v>
      </c>
      <c r="C9" s="9">
        <v>2027.4</v>
      </c>
      <c r="D9" s="9">
        <v>3368</v>
      </c>
    </row>
    <row r="10" spans="1:10" x14ac:dyDescent="0.35">
      <c r="A10" t="s">
        <v>35</v>
      </c>
      <c r="B10" s="10" t="s">
        <v>37</v>
      </c>
      <c r="C10" s="9">
        <v>20458.7</v>
      </c>
      <c r="D10" s="9">
        <v>18743.2</v>
      </c>
    </row>
    <row r="11" spans="1:10" x14ac:dyDescent="0.35">
      <c r="A11" t="s">
        <v>36</v>
      </c>
      <c r="B11" s="11">
        <v>0</v>
      </c>
      <c r="C11" s="9">
        <v>0</v>
      </c>
      <c r="D11" s="9">
        <v>0</v>
      </c>
      <c r="E11" s="9"/>
      <c r="F11" s="9"/>
      <c r="G11" s="9"/>
      <c r="H11" s="9"/>
      <c r="I11" s="9"/>
      <c r="J11" s="9"/>
    </row>
    <row r="15" spans="1:10" x14ac:dyDescent="0.35">
      <c r="A15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F4D02-0922-4201-8AB1-F7789AB236F7}">
  <dimension ref="A1:D14"/>
  <sheetViews>
    <sheetView workbookViewId="0">
      <selection activeCell="F15" sqref="F15"/>
    </sheetView>
  </sheetViews>
  <sheetFormatPr defaultRowHeight="14.5" x14ac:dyDescent="0.35"/>
  <cols>
    <col min="1" max="1" width="17.54296875" customWidth="1"/>
  </cols>
  <sheetData>
    <row r="1" spans="1:4" x14ac:dyDescent="0.35">
      <c r="A1" s="7" t="s">
        <v>47</v>
      </c>
      <c r="B1" s="7">
        <v>2023</v>
      </c>
      <c r="C1" s="7">
        <v>2024</v>
      </c>
      <c r="D1" s="7">
        <v>2025</v>
      </c>
    </row>
    <row r="2" spans="1:4" x14ac:dyDescent="0.35">
      <c r="A2" t="s">
        <v>40</v>
      </c>
      <c r="B2">
        <v>7124.1</v>
      </c>
      <c r="C2">
        <v>8352.1</v>
      </c>
      <c r="D2">
        <v>10064.700000000001</v>
      </c>
    </row>
    <row r="3" spans="1:4" x14ac:dyDescent="0.35">
      <c r="A3" t="s">
        <v>41</v>
      </c>
      <c r="B3">
        <v>4729.5</v>
      </c>
      <c r="C3">
        <v>5634.2</v>
      </c>
      <c r="D3">
        <v>6642.3</v>
      </c>
    </row>
    <row r="4" spans="1:4" x14ac:dyDescent="0.35">
      <c r="A4" t="s">
        <v>42</v>
      </c>
      <c r="B4" t="s">
        <v>37</v>
      </c>
      <c r="C4">
        <v>2350</v>
      </c>
      <c r="D4">
        <v>2950</v>
      </c>
    </row>
    <row r="5" spans="1:4" x14ac:dyDescent="0.35">
      <c r="A5" t="s">
        <v>43</v>
      </c>
      <c r="B5">
        <v>1817.3</v>
      </c>
      <c r="C5">
        <v>2337.5</v>
      </c>
      <c r="D5">
        <v>2876.6</v>
      </c>
    </row>
    <row r="6" spans="1:4" x14ac:dyDescent="0.35">
      <c r="A6" t="s">
        <v>44</v>
      </c>
      <c r="B6">
        <v>1813.8</v>
      </c>
      <c r="C6">
        <v>2415</v>
      </c>
      <c r="D6">
        <v>3030.5</v>
      </c>
    </row>
    <row r="7" spans="1:4" x14ac:dyDescent="0.35">
      <c r="A7" t="s">
        <v>45</v>
      </c>
      <c r="B7">
        <v>1064.2</v>
      </c>
      <c r="C7">
        <v>1111.2</v>
      </c>
      <c r="D7">
        <v>539.79999999999995</v>
      </c>
    </row>
    <row r="8" spans="1:4" x14ac:dyDescent="0.35">
      <c r="A8" t="s">
        <v>46</v>
      </c>
      <c r="B8">
        <v>749.6</v>
      </c>
      <c r="C8">
        <v>1303.8</v>
      </c>
      <c r="D8">
        <v>2490.6999999999998</v>
      </c>
    </row>
    <row r="10" spans="1:4" x14ac:dyDescent="0.35">
      <c r="A10" t="s">
        <v>2</v>
      </c>
      <c r="B10" t="s">
        <v>37</v>
      </c>
      <c r="C10" s="12">
        <v>0.17199999999999999</v>
      </c>
      <c r="D10" s="12">
        <v>0.20499999999999999</v>
      </c>
    </row>
    <row r="11" spans="1:4" x14ac:dyDescent="0.35">
      <c r="A11" t="s">
        <v>4</v>
      </c>
      <c r="B11" s="12">
        <v>0.66400000000000003</v>
      </c>
      <c r="C11" s="12">
        <v>0.67500000000000004</v>
      </c>
      <c r="D11" s="12">
        <v>0.66</v>
      </c>
    </row>
    <row r="12" spans="1:4" x14ac:dyDescent="0.35">
      <c r="A12" t="s">
        <v>5</v>
      </c>
      <c r="B12" t="s">
        <v>37</v>
      </c>
      <c r="C12" s="12">
        <v>0.28100000000000003</v>
      </c>
      <c r="D12" s="12">
        <v>0.29299999999999998</v>
      </c>
    </row>
    <row r="13" spans="1:4" x14ac:dyDescent="0.35">
      <c r="A13" t="s">
        <v>6</v>
      </c>
      <c r="B13" s="12">
        <v>0.255</v>
      </c>
      <c r="C13" s="12">
        <v>0.28000000000000003</v>
      </c>
      <c r="D13" s="12">
        <v>0.28599999999999998</v>
      </c>
    </row>
    <row r="14" spans="1:4" x14ac:dyDescent="0.35">
      <c r="A14" t="s">
        <v>39</v>
      </c>
      <c r="B14" s="12">
        <v>0.105</v>
      </c>
      <c r="C14" s="12">
        <v>0.156</v>
      </c>
      <c r="D14" s="12">
        <v>0.247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15735-6E6E-4E49-9AD7-823BB3058979}">
  <dimension ref="B2:Q29"/>
  <sheetViews>
    <sheetView zoomScale="51" zoomScaleNormal="93" workbookViewId="0">
      <selection activeCell="K30" sqref="K30"/>
    </sheetView>
  </sheetViews>
  <sheetFormatPr defaultRowHeight="14.5" x14ac:dyDescent="0.35"/>
  <cols>
    <col min="6" max="6" width="10.1796875" customWidth="1"/>
    <col min="9" max="9" width="9.26953125" customWidth="1"/>
    <col min="10" max="10" width="10.26953125" customWidth="1"/>
    <col min="17" max="17" width="12.7265625" customWidth="1"/>
  </cols>
  <sheetData>
    <row r="2" spans="2:17" x14ac:dyDescent="0.35">
      <c r="B2" s="13" t="s">
        <v>48</v>
      </c>
      <c r="C2" s="13" t="s">
        <v>40</v>
      </c>
      <c r="I2" s="13" t="s">
        <v>48</v>
      </c>
      <c r="J2" s="13" t="s">
        <v>43</v>
      </c>
      <c r="P2" s="13" t="s">
        <v>48</v>
      </c>
      <c r="Q2" s="13" t="s">
        <v>46</v>
      </c>
    </row>
    <row r="3" spans="2:17" x14ac:dyDescent="0.35">
      <c r="B3">
        <v>2023</v>
      </c>
      <c r="C3">
        <v>7124.1</v>
      </c>
      <c r="I3">
        <v>2023</v>
      </c>
      <c r="J3">
        <v>1817.3</v>
      </c>
      <c r="P3">
        <v>2023</v>
      </c>
      <c r="Q3">
        <v>749.6</v>
      </c>
    </row>
    <row r="4" spans="2:17" x14ac:dyDescent="0.35">
      <c r="B4">
        <v>2024</v>
      </c>
      <c r="C4">
        <v>8352.1</v>
      </c>
      <c r="I4">
        <v>2024</v>
      </c>
      <c r="J4">
        <v>2337.5</v>
      </c>
      <c r="P4">
        <v>2024</v>
      </c>
      <c r="Q4">
        <v>1303.8</v>
      </c>
    </row>
    <row r="5" spans="2:17" x14ac:dyDescent="0.35">
      <c r="B5">
        <v>2025</v>
      </c>
      <c r="C5">
        <v>10064.700000000001</v>
      </c>
      <c r="I5">
        <v>2025</v>
      </c>
      <c r="J5">
        <v>2876.6</v>
      </c>
      <c r="P5">
        <v>2025</v>
      </c>
      <c r="Q5">
        <v>2490.6999999999998</v>
      </c>
    </row>
    <row r="29" spans="6:6" x14ac:dyDescent="0.35">
      <c r="F29" t="s">
        <v>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2690F-D6D1-4DAF-9870-9F677F1E9A7A}">
  <dimension ref="A1:H20"/>
  <sheetViews>
    <sheetView zoomScale="86" zoomScaleNormal="86" workbookViewId="0">
      <selection activeCell="B20" sqref="B20"/>
    </sheetView>
  </sheetViews>
  <sheetFormatPr defaultRowHeight="14.5" x14ac:dyDescent="0.35"/>
  <cols>
    <col min="1" max="1" width="23.54296875" bestFit="1" customWidth="1"/>
    <col min="2" max="2" width="59.7265625" bestFit="1" customWidth="1"/>
    <col min="3" max="3" width="15.54296875" customWidth="1"/>
    <col min="4" max="4" width="13.26953125" customWidth="1"/>
    <col min="5" max="5" width="13.90625" customWidth="1"/>
    <col min="6" max="6" width="109" bestFit="1" customWidth="1"/>
    <col min="7" max="7" width="144" customWidth="1"/>
    <col min="8" max="8" width="122.7265625" bestFit="1" customWidth="1"/>
  </cols>
  <sheetData>
    <row r="1" spans="1:8" x14ac:dyDescent="0.35">
      <c r="A1" s="7" t="s">
        <v>0</v>
      </c>
      <c r="B1" s="7" t="s">
        <v>3</v>
      </c>
      <c r="C1" s="8">
        <v>2023</v>
      </c>
      <c r="D1" s="8">
        <v>2024</v>
      </c>
      <c r="E1" s="8">
        <v>2025</v>
      </c>
      <c r="F1" s="8" t="s">
        <v>13</v>
      </c>
      <c r="G1" s="8" t="s">
        <v>50</v>
      </c>
      <c r="H1" s="8" t="s">
        <v>51</v>
      </c>
    </row>
    <row r="2" spans="1:8" x14ac:dyDescent="0.35">
      <c r="A2" t="s">
        <v>2</v>
      </c>
      <c r="B2" t="s">
        <v>8</v>
      </c>
      <c r="C2" t="s">
        <v>37</v>
      </c>
      <c r="D2" s="12">
        <v>0.1724</v>
      </c>
      <c r="E2" s="12">
        <v>0.2051</v>
      </c>
      <c r="F2" t="s">
        <v>58</v>
      </c>
      <c r="G2" t="s">
        <v>59</v>
      </c>
      <c r="H2" t="s">
        <v>60</v>
      </c>
    </row>
    <row r="3" spans="1:8" x14ac:dyDescent="0.35">
      <c r="A3" t="s">
        <v>4</v>
      </c>
      <c r="B3" t="s">
        <v>9</v>
      </c>
      <c r="C3" s="12">
        <v>0.66390000000000005</v>
      </c>
      <c r="D3" s="12">
        <v>0.67459999999999998</v>
      </c>
      <c r="E3" s="12">
        <v>0.66</v>
      </c>
      <c r="F3" t="s">
        <v>61</v>
      </c>
      <c r="G3" t="s">
        <v>62</v>
      </c>
      <c r="H3" t="s">
        <v>63</v>
      </c>
    </row>
    <row r="4" spans="1:8" x14ac:dyDescent="0.35">
      <c r="A4" t="s">
        <v>5</v>
      </c>
      <c r="B4" t="s">
        <v>10</v>
      </c>
      <c r="C4" t="s">
        <v>37</v>
      </c>
      <c r="D4" s="12">
        <v>0.28139999999999998</v>
      </c>
      <c r="E4" s="12">
        <v>0.29310000000000003</v>
      </c>
      <c r="F4" t="s">
        <v>64</v>
      </c>
      <c r="G4" t="s">
        <v>65</v>
      </c>
      <c r="H4" t="s">
        <v>66</v>
      </c>
    </row>
    <row r="5" spans="1:8" x14ac:dyDescent="0.35">
      <c r="A5" t="s">
        <v>6</v>
      </c>
      <c r="B5" t="s">
        <v>11</v>
      </c>
      <c r="C5" s="12">
        <v>0.25509999999999999</v>
      </c>
      <c r="D5" s="12">
        <v>0.27989999999999998</v>
      </c>
      <c r="E5" s="12">
        <v>0.2858</v>
      </c>
      <c r="F5" t="s">
        <v>67</v>
      </c>
      <c r="G5" t="s">
        <v>68</v>
      </c>
      <c r="H5" t="s">
        <v>69</v>
      </c>
    </row>
    <row r="6" spans="1:8" x14ac:dyDescent="0.35">
      <c r="A6" t="s">
        <v>7</v>
      </c>
      <c r="B6" t="s">
        <v>12</v>
      </c>
      <c r="C6" s="12">
        <v>0.1052</v>
      </c>
      <c r="D6" s="12">
        <v>0.15609999999999999</v>
      </c>
      <c r="E6" s="12">
        <v>0.2475</v>
      </c>
      <c r="F6" t="s">
        <v>70</v>
      </c>
      <c r="G6" t="s">
        <v>71</v>
      </c>
      <c r="H6" t="s">
        <v>72</v>
      </c>
    </row>
    <row r="7" spans="1:8" x14ac:dyDescent="0.35">
      <c r="A7" t="s">
        <v>52</v>
      </c>
      <c r="B7" t="s">
        <v>55</v>
      </c>
      <c r="C7" s="12">
        <v>0.255</v>
      </c>
      <c r="D7" s="12">
        <v>0.28899999999999998</v>
      </c>
      <c r="E7" s="12">
        <v>0.30099999999999999</v>
      </c>
      <c r="F7" t="s">
        <v>73</v>
      </c>
      <c r="G7" t="s">
        <v>74</v>
      </c>
      <c r="H7" t="s">
        <v>75</v>
      </c>
    </row>
    <row r="8" spans="1:8" x14ac:dyDescent="0.35">
      <c r="A8" t="s">
        <v>53</v>
      </c>
      <c r="B8" t="s">
        <v>56</v>
      </c>
      <c r="C8" s="12">
        <v>0.14899999999999999</v>
      </c>
      <c r="D8" s="12">
        <v>0.13300000000000001</v>
      </c>
      <c r="E8" s="12">
        <v>5.3999999999999999E-2</v>
      </c>
      <c r="F8" t="s">
        <v>76</v>
      </c>
      <c r="G8" t="s">
        <v>77</v>
      </c>
      <c r="H8" t="s">
        <v>78</v>
      </c>
    </row>
    <row r="9" spans="1:8" x14ac:dyDescent="0.35">
      <c r="A9" t="s">
        <v>54</v>
      </c>
      <c r="B9" t="s">
        <v>57</v>
      </c>
      <c r="C9" t="s">
        <v>37</v>
      </c>
      <c r="D9" t="s">
        <v>37</v>
      </c>
      <c r="E9" s="12">
        <v>0.66100000000000003</v>
      </c>
      <c r="F9" t="s">
        <v>79</v>
      </c>
      <c r="G9" t="s">
        <v>80</v>
      </c>
      <c r="H9" t="s">
        <v>81</v>
      </c>
    </row>
    <row r="13" spans="1:8" x14ac:dyDescent="0.35">
      <c r="D13" s="12"/>
      <c r="E13" s="12"/>
    </row>
    <row r="14" spans="1:8" x14ac:dyDescent="0.35">
      <c r="B14" s="15" t="s">
        <v>82</v>
      </c>
      <c r="C14" s="12"/>
      <c r="D14" s="12"/>
      <c r="E14" s="12"/>
    </row>
    <row r="15" spans="1:8" x14ac:dyDescent="0.35">
      <c r="B15" t="s">
        <v>83</v>
      </c>
      <c r="D15" s="12"/>
      <c r="E15" s="12"/>
    </row>
    <row r="16" spans="1:8" x14ac:dyDescent="0.35">
      <c r="C16" s="12"/>
      <c r="D16" s="12"/>
      <c r="E16" s="12"/>
    </row>
    <row r="17" spans="3:5" x14ac:dyDescent="0.35">
      <c r="C17" s="12"/>
      <c r="D17" s="12"/>
      <c r="E17" s="12"/>
    </row>
    <row r="18" spans="3:5" x14ac:dyDescent="0.35">
      <c r="C18" s="12"/>
      <c r="D18" s="12"/>
      <c r="E18" s="12"/>
    </row>
    <row r="19" spans="3:5" x14ac:dyDescent="0.35">
      <c r="C19" s="12"/>
      <c r="D19" s="12"/>
      <c r="E19" s="12"/>
    </row>
    <row r="20" spans="3:5" x14ac:dyDescent="0.35">
      <c r="E20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9EDFD-8E00-44BB-B972-D9A592EC125C}">
  <dimension ref="A1:H29"/>
  <sheetViews>
    <sheetView tabSelected="1" zoomScale="63" workbookViewId="0">
      <selection activeCell="F11" sqref="F11"/>
    </sheetView>
  </sheetViews>
  <sheetFormatPr defaultRowHeight="14.5" x14ac:dyDescent="0.35"/>
  <cols>
    <col min="1" max="1" width="15.6328125" bestFit="1" customWidth="1"/>
    <col min="2" max="2" width="52.36328125" bestFit="1" customWidth="1"/>
    <col min="3" max="4" width="7.90625" bestFit="1" customWidth="1"/>
    <col min="5" max="5" width="8.90625" bestFit="1" customWidth="1"/>
    <col min="6" max="6" width="18" bestFit="1" customWidth="1"/>
    <col min="7" max="7" width="8.90625" bestFit="1" customWidth="1"/>
    <col min="8" max="8" width="106.1796875" bestFit="1" customWidth="1"/>
    <col min="10" max="10" width="106.1796875" bestFit="1" customWidth="1"/>
    <col min="13" max="13" width="106.1796875" bestFit="1" customWidth="1"/>
  </cols>
  <sheetData>
    <row r="1" spans="1:2" x14ac:dyDescent="0.35">
      <c r="A1" s="4" t="s">
        <v>14</v>
      </c>
      <c r="B1" s="1" t="s">
        <v>18</v>
      </c>
    </row>
    <row r="2" spans="1:2" x14ac:dyDescent="0.35">
      <c r="A2" s="5" t="s">
        <v>15</v>
      </c>
      <c r="B2" s="2" t="s">
        <v>16</v>
      </c>
    </row>
    <row r="3" spans="1:2" x14ac:dyDescent="0.35">
      <c r="A3" s="5" t="s">
        <v>17</v>
      </c>
      <c r="B3" s="2" t="s">
        <v>19</v>
      </c>
    </row>
    <row r="4" spans="1:2" ht="15" thickBot="1" x14ac:dyDescent="0.4">
      <c r="A4" s="6" t="s">
        <v>20</v>
      </c>
      <c r="B4" s="3" t="s">
        <v>21</v>
      </c>
    </row>
    <row r="5" spans="1:2" ht="15" thickBot="1" x14ac:dyDescent="0.4"/>
    <row r="6" spans="1:2" x14ac:dyDescent="0.35">
      <c r="A6" s="27" t="s">
        <v>22</v>
      </c>
      <c r="B6" s="28"/>
    </row>
    <row r="7" spans="1:2" x14ac:dyDescent="0.35">
      <c r="A7" s="29" t="s">
        <v>23</v>
      </c>
      <c r="B7" s="30"/>
    </row>
    <row r="8" spans="1:2" x14ac:dyDescent="0.35">
      <c r="A8" s="29" t="s">
        <v>24</v>
      </c>
      <c r="B8" s="30"/>
    </row>
    <row r="9" spans="1:2" x14ac:dyDescent="0.35">
      <c r="A9" s="29" t="s">
        <v>25</v>
      </c>
      <c r="B9" s="30"/>
    </row>
    <row r="10" spans="1:2" ht="15" thickBot="1" x14ac:dyDescent="0.4">
      <c r="A10" s="31" t="s">
        <v>26</v>
      </c>
      <c r="B10" s="32"/>
    </row>
    <row r="14" spans="1:2" x14ac:dyDescent="0.35">
      <c r="B14" s="26" t="s">
        <v>110</v>
      </c>
    </row>
    <row r="17" spans="1:8" x14ac:dyDescent="0.35">
      <c r="A17" s="25"/>
      <c r="C17" s="25"/>
      <c r="D17" s="25"/>
      <c r="E17" s="25"/>
      <c r="F17" s="25"/>
      <c r="G17" s="25"/>
      <c r="H17" s="25"/>
    </row>
    <row r="18" spans="1:8" ht="15" thickBot="1" x14ac:dyDescent="0.4"/>
    <row r="19" spans="1:8" x14ac:dyDescent="0.35">
      <c r="H19" s="24" t="s">
        <v>100</v>
      </c>
    </row>
    <row r="20" spans="1:8" ht="15" thickBot="1" x14ac:dyDescent="0.4">
      <c r="H20" s="22" t="s">
        <v>101</v>
      </c>
    </row>
    <row r="21" spans="1:8" x14ac:dyDescent="0.35">
      <c r="A21" s="14" t="s">
        <v>84</v>
      </c>
      <c r="B21" s="17"/>
      <c r="C21" s="17">
        <v>2023</v>
      </c>
      <c r="D21" s="17">
        <v>2024</v>
      </c>
      <c r="E21" s="17">
        <v>2025</v>
      </c>
      <c r="F21" s="1" t="s">
        <v>85</v>
      </c>
      <c r="H21" s="22" t="s">
        <v>102</v>
      </c>
    </row>
    <row r="22" spans="1:8" x14ac:dyDescent="0.35">
      <c r="A22" s="18" t="s">
        <v>40</v>
      </c>
      <c r="B22" t="s">
        <v>86</v>
      </c>
      <c r="C22" s="16">
        <v>7124.1</v>
      </c>
      <c r="D22" s="16">
        <v>8352.1</v>
      </c>
      <c r="E22" s="16">
        <v>10064.700000000001</v>
      </c>
      <c r="F22" s="2" t="s">
        <v>87</v>
      </c>
      <c r="H22" s="22" t="s">
        <v>103</v>
      </c>
    </row>
    <row r="23" spans="1:8" x14ac:dyDescent="0.35">
      <c r="A23" s="18" t="s">
        <v>88</v>
      </c>
      <c r="B23" t="s">
        <v>89</v>
      </c>
      <c r="C23" t="s">
        <v>37</v>
      </c>
      <c r="D23" s="12">
        <v>0.17199999999999999</v>
      </c>
      <c r="E23" s="12">
        <v>0.20499999999999999</v>
      </c>
      <c r="F23" s="2" t="s">
        <v>87</v>
      </c>
      <c r="H23" s="22" t="s">
        <v>104</v>
      </c>
    </row>
    <row r="24" spans="1:8" x14ac:dyDescent="0.35">
      <c r="A24" s="18" t="s">
        <v>90</v>
      </c>
      <c r="B24" t="s">
        <v>91</v>
      </c>
      <c r="C24" s="12">
        <v>0.66400000000000003</v>
      </c>
      <c r="D24" s="12">
        <v>0.67500000000000004</v>
      </c>
      <c r="E24" s="12">
        <v>0.66</v>
      </c>
      <c r="F24" s="2" t="s">
        <v>92</v>
      </c>
      <c r="H24" s="22" t="s">
        <v>105</v>
      </c>
    </row>
    <row r="25" spans="1:8" x14ac:dyDescent="0.35">
      <c r="A25" s="18" t="s">
        <v>93</v>
      </c>
      <c r="B25" t="s">
        <v>94</v>
      </c>
      <c r="C25" t="s">
        <v>37</v>
      </c>
      <c r="D25" s="12">
        <v>0.28100000000000003</v>
      </c>
      <c r="E25" s="12">
        <v>0.29299999999999998</v>
      </c>
      <c r="F25" s="2" t="s">
        <v>87</v>
      </c>
      <c r="H25" s="22"/>
    </row>
    <row r="26" spans="1:8" x14ac:dyDescent="0.35">
      <c r="A26" s="18" t="s">
        <v>95</v>
      </c>
      <c r="B26" t="s">
        <v>96</v>
      </c>
      <c r="C26" s="12">
        <v>0.255</v>
      </c>
      <c r="D26" s="12">
        <v>0.28000000000000003</v>
      </c>
      <c r="E26" s="12">
        <v>0.28599999999999998</v>
      </c>
      <c r="F26" s="2" t="s">
        <v>87</v>
      </c>
      <c r="H26" s="22" t="s">
        <v>106</v>
      </c>
    </row>
    <row r="27" spans="1:8" ht="15" thickBot="1" x14ac:dyDescent="0.4">
      <c r="A27" s="19" t="s">
        <v>97</v>
      </c>
      <c r="B27" s="20" t="s">
        <v>98</v>
      </c>
      <c r="C27" s="21">
        <v>0.105</v>
      </c>
      <c r="D27" s="21">
        <v>0.156</v>
      </c>
      <c r="E27" s="21">
        <v>0.247</v>
      </c>
      <c r="F27" s="3" t="s">
        <v>99</v>
      </c>
      <c r="H27" s="22" t="s">
        <v>107</v>
      </c>
    </row>
    <row r="28" spans="1:8" x14ac:dyDescent="0.35">
      <c r="H28" s="22" t="s">
        <v>108</v>
      </c>
    </row>
    <row r="29" spans="1:8" ht="15" thickBot="1" x14ac:dyDescent="0.4">
      <c r="H29" s="23" t="s">
        <v>109</v>
      </c>
    </row>
  </sheetData>
  <mergeCells count="5">
    <mergeCell ref="A6:B6"/>
    <mergeCell ref="A7:B7"/>
    <mergeCell ref="A8:B8"/>
    <mergeCell ref="A9:B9"/>
    <mergeCell ref="A10:B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c080af5-ea46-489e-9954-b9d183e7dd6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E92206AA884945A360311A55B8911D" ma:contentTypeVersion="10" ma:contentTypeDescription="Crée un document." ma:contentTypeScope="" ma:versionID="6272dedd46978e3651726424a4197edf">
  <xsd:schema xmlns:xsd="http://www.w3.org/2001/XMLSchema" xmlns:xs="http://www.w3.org/2001/XMLSchema" xmlns:p="http://schemas.microsoft.com/office/2006/metadata/properties" xmlns:ns3="5c080af5-ea46-489e-9954-b9d183e7dd6a" targetNamespace="http://schemas.microsoft.com/office/2006/metadata/properties" ma:root="true" ma:fieldsID="2492b1489bf93cffee762d40eff7bce9" ns3:_="">
    <xsd:import namespace="5c080af5-ea46-489e-9954-b9d183e7dd6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080af5-ea46-489e-9954-b9d183e7dd6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012F56-4C73-47FF-A44E-A3F1224E6E59}">
  <ds:schemaRefs>
    <ds:schemaRef ds:uri="http://purl.org/dc/elements/1.1/"/>
    <ds:schemaRef ds:uri="5c080af5-ea46-489e-9954-b9d183e7dd6a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4F32D8D-AC57-4EAD-B13D-98A0B09C1C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FD9064-9697-4EEB-9C36-131EB6A9B6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080af5-ea46-489e-9954-b9d183e7dd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financials</vt:lpstr>
      <vt:lpstr>Clean summary</vt:lpstr>
      <vt:lpstr>Charts</vt:lpstr>
      <vt:lpstr>KPIs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Chraibi Di Biase</dc:creator>
  <cp:lastModifiedBy>Adam Di Biase</cp:lastModifiedBy>
  <dcterms:created xsi:type="dcterms:W3CDTF">2026-06-04T00:46:43Z</dcterms:created>
  <dcterms:modified xsi:type="dcterms:W3CDTF">2026-07-13T23:42:23Z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0x0101004CE92206AA884945A360311A55B8911D</vt:lpwstr>
  </property>
</Properties>
</file>